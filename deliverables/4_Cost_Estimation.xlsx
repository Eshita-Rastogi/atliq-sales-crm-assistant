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ITA RASTOGI\AppData\Local\Temp\claude\C--Users-ESHITA-RASTOGI-OneDrive-Desktop-CodeBasics-Capstone-Capstone-1-AtliQ-Sales-and-CRM-Assistant\c4f785b9-68dd-4520-a326-785c604133ea\scratchpad\"/>
    </mc:Choice>
  </mc:AlternateContent>
  <xr:revisionPtr revIDLastSave="0" documentId="13_ncr:1_{F844A215-ECE5-403E-804D-C89A47B1C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erence" sheetId="1" r:id="rId1"/>
    <sheet name="Embeddings" sheetId="2" r:id="rId2"/>
    <sheet name="Cost Savings" sheetId="3" r:id="rId3"/>
  </sheets>
  <calcPr calcId="191029"/>
</workbook>
</file>

<file path=xl/calcChain.xml><?xml version="1.0" encoding="utf-8"?>
<calcChain xmlns="http://schemas.openxmlformats.org/spreadsheetml/2006/main">
  <c r="E26" i="3" l="1"/>
  <c r="E25" i="3"/>
  <c r="E17" i="3"/>
  <c r="E9" i="3"/>
  <c r="E10" i="3" s="1"/>
  <c r="E8" i="3"/>
  <c r="D24" i="2"/>
  <c r="D26" i="2" s="1"/>
  <c r="G10" i="2"/>
  <c r="J9" i="2"/>
  <c r="J10" i="2" s="1"/>
  <c r="G9" i="2"/>
  <c r="D9" i="2"/>
  <c r="D10" i="2" s="1"/>
  <c r="C36" i="1"/>
  <c r="C35" i="1"/>
  <c r="C30" i="1"/>
  <c r="C25" i="1"/>
  <c r="C27" i="1" s="1"/>
  <c r="I22" i="1"/>
  <c r="I21" i="1"/>
  <c r="I20" i="1"/>
  <c r="H20" i="1"/>
  <c r="J20" i="1" s="1"/>
  <c r="K20" i="1" s="1"/>
  <c r="C34" i="1" s="1"/>
  <c r="C16" i="1"/>
  <c r="C11" i="1"/>
  <c r="C13" i="1" s="1"/>
  <c r="I8" i="1"/>
  <c r="H8" i="1"/>
  <c r="J8" i="1" s="1"/>
  <c r="K8" i="1" s="1"/>
  <c r="I7" i="1"/>
  <c r="H7" i="1"/>
  <c r="J7" i="1" s="1"/>
  <c r="K7" i="1" s="1"/>
  <c r="I6" i="1"/>
  <c r="H6" i="1"/>
  <c r="J6" i="1" s="1"/>
  <c r="K6" i="1" s="1"/>
  <c r="C33" i="1" s="1"/>
  <c r="E19" i="3" l="1"/>
  <c r="H21" i="1"/>
  <c r="J21" i="1" s="1"/>
  <c r="K21" i="1" s="1"/>
  <c r="E24" i="3"/>
  <c r="E27" i="3" s="1"/>
  <c r="E30" i="3" s="1"/>
  <c r="E31" i="3" s="1"/>
  <c r="C39" i="1"/>
  <c r="D15" i="2"/>
  <c r="D17" i="2" s="1"/>
  <c r="D29" i="2" s="1"/>
  <c r="H22" i="1"/>
  <c r="J22" i="1" s="1"/>
  <c r="K22" i="1" s="1"/>
</calcChain>
</file>

<file path=xl/sharedStrings.xml><?xml version="1.0" encoding="utf-8"?>
<sst xmlns="http://schemas.openxmlformats.org/spreadsheetml/2006/main" count="128" uniqueCount="102">
  <si>
    <t>Base Calculation — Extraction (per email / note)</t>
  </si>
  <si>
    <t>Model Selection + Cost Estimation — Extraction</t>
  </si>
  <si>
    <t>Description</t>
  </si>
  <si>
    <t>Quantity</t>
  </si>
  <si>
    <t>Model Name</t>
  </si>
  <si>
    <t>Input cost($) per 1M token</t>
  </si>
  <si>
    <t>Output cost($) per 1M token</t>
  </si>
  <si>
    <t>Cost per input Query($)</t>
  </si>
  <si>
    <t>Cost per output query Query($)</t>
  </si>
  <si>
    <t>Total Cost per query</t>
  </si>
  <si>
    <t>Total cost per month</t>
  </si>
  <si>
    <t>Email / meeting note content</t>
  </si>
  <si>
    <t>openai/gpt-oss-20b (Groq) ✓ chosen</t>
  </si>
  <si>
    <t>System prompt + extraction schema</t>
  </si>
  <si>
    <t>openai/gpt-oss-120b (Groq)</t>
  </si>
  <si>
    <t>CRM account record + team &amp; service list</t>
  </si>
  <si>
    <t>Claude Haiku 5.5 (reference)</t>
  </si>
  <si>
    <t>Related thread history (same account)</t>
  </si>
  <si>
    <t>Few-shot examples</t>
  </si>
  <si>
    <t>Total input tokens per document</t>
  </si>
  <si>
    <t>Total output tokens per document (JSON signals + quotes)</t>
  </si>
  <si>
    <t>Total tokens per document</t>
  </si>
  <si>
    <t>Documents (emails + notes) processed per day</t>
  </si>
  <si>
    <t>Total number of days per month</t>
  </si>
  <si>
    <t>Total monthly volume of documents</t>
  </si>
  <si>
    <t>Base Calculation — Generation (per reasoning-model call)</t>
  </si>
  <si>
    <t>Model Selection + Cost Estimation — Generation</t>
  </si>
  <si>
    <t>Task instruction / user question</t>
  </si>
  <si>
    <t>openai/gpt-oss-120b (Groq) ✓ chosen</t>
  </si>
  <si>
    <t>System prompt + guardrails</t>
  </si>
  <si>
    <t>openai/gpt-oss-20b (Groq)</t>
  </si>
  <si>
    <t>Source emails &amp; notes for the item(s)</t>
  </si>
  <si>
    <t>Claude Opus 5.5 (reference)</t>
  </si>
  <si>
    <t>CRM record + open items</t>
  </si>
  <si>
    <t>Style / few-shot examples</t>
  </si>
  <si>
    <t>Total input tokens per call</t>
  </si>
  <si>
    <t>Total output tokens per call (reason / answer / draft)</t>
  </si>
  <si>
    <t>Total tokens per call</t>
  </si>
  <si>
    <t>Reasoning calls per day (summaries, next steps, drafts, Q&amp;A)</t>
  </si>
  <si>
    <t>Total monthly volume of calls</t>
  </si>
  <si>
    <t>Monthly cost — chosen setup</t>
  </si>
  <si>
    <t>Extraction — gpt-oss-20b (Groq)</t>
  </si>
  <si>
    <t>Generation — gpt-oss-120b (Groq)</t>
  </si>
  <si>
    <t>Meeting &amp; lead capture — gpt-oss-20b (8 calls/day, ~3k in / 800 out)</t>
  </si>
  <si>
    <t>Speech-to-text — Whisper large-v3-turbo (8 recordings/day × 5 min, $0.04/hour)</t>
  </si>
  <si>
    <t>Hosting — Vercel Hobby (free tier)</t>
  </si>
  <si>
    <t>Embeddings (none in V1)</t>
  </si>
  <si>
    <t>Total monthly cost</t>
  </si>
  <si>
    <t>Assumptions:</t>
  </si>
  <si>
    <t>• Models: the prototype runs on Groq — openai/gpt-oss-20b for extraction and capture, openai/gpt-oss-120b for summaries, next steps, drafts and Q&amp;A, whisper-large-v3-turbo for speech-to-text.</t>
  </si>
  <si>
    <t>• Prices: Groq on-demand list prices (official snapshot, Oct 2026; third-party trackers show slightly lower) — verify on groq.com/pricing. Claude rows are a reference comparison.</t>
  </si>
  <si>
    <t>• Volume is based on the dataset: ~50 emails/notes over ~6 weeks, scaled to 20 documents, 25 reasoning calls and 8 meeting captures a day. Tokens ≈ characters ÷ 4.</t>
  </si>
  <si>
    <t>• Date maths, ranking, duplicate matching and stage rules run in code, so they add no model cost.</t>
  </si>
  <si>
    <t>• Prototype ran on Groq's free tier ($0); production estimate below uses paid on-demand prices.</t>
  </si>
  <si>
    <t>Token/word</t>
  </si>
  <si>
    <t>Emails (12 months)</t>
  </si>
  <si>
    <t>Meeting notes (12 months)</t>
  </si>
  <si>
    <t>Proposals &amp; SOWs</t>
  </si>
  <si>
    <t>Component</t>
  </si>
  <si>
    <t>Number of emails</t>
  </si>
  <si>
    <t>Number of meeting notes</t>
  </si>
  <si>
    <t>Number of proposals / SOWs</t>
  </si>
  <si>
    <t>Number of words per email</t>
  </si>
  <si>
    <t>Number of words per note</t>
  </si>
  <si>
    <t>Number of words per document</t>
  </si>
  <si>
    <t>Total number of words</t>
  </si>
  <si>
    <t>Total Tokens</t>
  </si>
  <si>
    <t>Total tokens</t>
  </si>
  <si>
    <t>RAG Embeddings — V2 projection (not used in V1)</t>
  </si>
  <si>
    <t>Cost/Quantity</t>
  </si>
  <si>
    <t>Total tokens for RAG</t>
  </si>
  <si>
    <t>Cost per 1M token (assumed; verify with provider)</t>
  </si>
  <si>
    <t>Total cost for RAG</t>
  </si>
  <si>
    <t>User Query Embeddings</t>
  </si>
  <si>
    <t>Token per user query</t>
  </si>
  <si>
    <t>Total queries per month (Q&amp;A)</t>
  </si>
  <si>
    <t>Token tokens per month</t>
  </si>
  <si>
    <t>Cost per 1M token</t>
  </si>
  <si>
    <t>Total cost for user query embeddings</t>
  </si>
  <si>
    <t>Total cost of Embeddings</t>
  </si>
  <si>
    <t>Note: V1 sends the full context to the model (dataset ≈ 12k tokens), so no embeddings are needed. Retrieval is added only when context exceeds ~200k tokens.</t>
  </si>
  <si>
    <t>Calculating human time saved</t>
  </si>
  <si>
    <t>Team hours saved per day (CRM entry, inbox search, follow-up tracking)</t>
  </si>
  <si>
    <t>Working hours per person per day</t>
  </si>
  <si>
    <t>Working days per month</t>
  </si>
  <si>
    <t>Working hours per person per month</t>
  </si>
  <si>
    <t>Total hours saved per month (incl. ~8 h pre-review reconciliation)</t>
  </si>
  <si>
    <t>Full-time equivalent (FTE) freed up</t>
  </si>
  <si>
    <t>Monthly cost of that time</t>
  </si>
  <si>
    <t>Cost</t>
  </si>
  <si>
    <t>Blended monthly cost per FTE (founders + sales exec)</t>
  </si>
  <si>
    <t>Overheads per FTE</t>
  </si>
  <si>
    <t>Total cost per human agent per month</t>
  </si>
  <si>
    <t>Total monthly cost of time saved</t>
  </si>
  <si>
    <t>Cost of AtliQ Sales &amp; CRM Assistant</t>
  </si>
  <si>
    <t>Inference + speech-to-text (Groq)</t>
  </si>
  <si>
    <t>Embeddings cost (none in V1)</t>
  </si>
  <si>
    <t>Hosting (Vercel Hobby)</t>
  </si>
  <si>
    <t>Total cost of the assistant per month</t>
  </si>
  <si>
    <t>Total savings per month</t>
  </si>
  <si>
    <t>% Savings</t>
  </si>
  <si>
    <t>Not counted above: revenue protected — ~$410k of pipeline was waiting on AtliQ in the July 2026 snapshot.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</si>
</sst>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_([$$-409]* #,##0.00_);_([$$-409]* \(#,##0.00\);_([$$-409]* &quot;-&quot;??_);_(@_)"/>
    <numFmt numFmtId="166" formatCode="_(&quot;₹&quot;* #,##0.00_);_(&quot;₹&quot;* \(#,##0.00\);_(&quot;₹&quot;* &quot;-&quot;??_);_(@_)"/>
  </numFmts>
  <fonts count="5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6" fontId="4" fillId="0" borderId="0"/>
    <xf numFmtId="9" fontId="4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2" borderId="9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0" borderId="22" xfId="0" applyBorder="1"/>
    <xf numFmtId="0" fontId="0" fillId="0" borderId="1" xfId="0" applyBorder="1"/>
    <xf numFmtId="164" fontId="0" fillId="0" borderId="23" xfId="0" applyNumberFormat="1" applyBorder="1"/>
    <xf numFmtId="0" fontId="0" fillId="0" borderId="24" xfId="0" applyBorder="1"/>
    <xf numFmtId="0" fontId="0" fillId="0" borderId="25" xfId="0" applyBorder="1"/>
    <xf numFmtId="164" fontId="0" fillId="0" borderId="26" xfId="0" applyNumberFormat="1" applyBorder="1"/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5" fontId="0" fillId="0" borderId="23" xfId="0" applyNumberFormat="1" applyBorder="1"/>
    <xf numFmtId="165" fontId="0" fillId="0" borderId="26" xfId="0" applyNumberFormat="1" applyBorder="1"/>
    <xf numFmtId="165" fontId="0" fillId="0" borderId="23" xfId="1" applyNumberFormat="1" applyFon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0" fontId="1" fillId="0" borderId="0" xfId="0" applyFont="1"/>
    <xf numFmtId="0" fontId="1" fillId="2" borderId="15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1" fillId="2" borderId="15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47">
    <dxf>
      <numFmt numFmtId="165" formatCode="_([$$-409]* #,##0.00_);_([$$-409]* \(#,##0.00\);_([$$-409]* &quot;-&quot;??_);_(@_)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border outline="0">
        <bottom style="thin">
          <color theme="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wrapText="1"/>
    </dxf>
    <dxf>
      <numFmt numFmtId="164" formatCode="[$$-409]#,##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C16" totalsRowShown="0" headerRowDxfId="46">
  <autoFilter ref="B5:C16" xr:uid="{00000000-0009-0000-0100-000001000000}"/>
  <tableColumns count="2">
    <tableColumn id="1" xr3:uid="{00000000-0010-0000-0000-000001000000}" name="Description" dataDxfId="45"/>
    <tableColumn id="2" xr3:uid="{00000000-0010-0000-0000-000002000000}" name="Quantity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5:K11" totalsRowShown="0" headerRowDxfId="43" headerRowBorderDxfId="42" tableBorderDxfId="41" totalsRowBorderDxfId="40">
  <autoFilter ref="E5:K11" xr:uid="{00000000-0009-0000-0100-000002000000}"/>
  <tableColumns count="7">
    <tableColumn id="1" xr3:uid="{00000000-0010-0000-0100-000001000000}" name="Model Name" dataDxfId="39"/>
    <tableColumn id="2" xr3:uid="{00000000-0010-0000-0100-000002000000}" name="Input cost($) per 1M token" dataDxfId="38"/>
    <tableColumn id="3" xr3:uid="{00000000-0010-0000-0100-000003000000}" name="Output cost($) per 1M token" dataDxfId="37"/>
    <tableColumn id="4" xr3:uid="{00000000-0010-0000-0100-000004000000}" name="Cost per input Query($)" dataDxfId="36">
      <calculatedColumnFormula>F6*$C$11/1000000</calculatedColumnFormula>
    </tableColumn>
    <tableColumn id="5" xr3:uid="{00000000-0010-0000-0100-000005000000}" name="Cost per output query Query($)" dataDxfId="35">
      <calculatedColumnFormula>G6*$C$12/1000000</calculatedColumnFormula>
    </tableColumn>
    <tableColumn id="6" xr3:uid="{00000000-0010-0000-0100-000006000000}" name="Total Cost per query" dataDxfId="34">
      <calculatedColumnFormula>H6+I6</calculatedColumnFormula>
    </tableColumn>
    <tableColumn id="7" xr3:uid="{00000000-0010-0000-0100-000007000000}" name="Total cost per month" dataDxfId="33">
      <calculatedColumnFormula>Table2[[#This Row],[Total Cost per query]]*$C$16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1" displayName="Table11" ref="B19:C30">
  <autoFilter ref="B19:C30" xr:uid="{00000000-0009-0000-0100-000003000000}"/>
  <tableColumns count="2">
    <tableColumn id="2" xr3:uid="{00000000-0010-0000-0200-000002000000}" name="Description"/>
    <tableColumn id="3" xr3:uid="{00000000-0010-0000-0200-000003000000}" name="Quantit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2" displayName="Table12" ref="E19:K22">
  <autoFilter ref="E19:K22" xr:uid="{00000000-0009-0000-0100-000004000000}"/>
  <tableColumns count="7">
    <tableColumn id="5" xr3:uid="{00000000-0010-0000-0300-000005000000}" name="Model Name"/>
    <tableColumn id="6" xr3:uid="{00000000-0010-0000-0300-000006000000}" name="Input cost($) per 1M token"/>
    <tableColumn id="7" xr3:uid="{00000000-0010-0000-0300-000007000000}" name="Output cost($) per 1M token"/>
    <tableColumn id="8" xr3:uid="{00000000-0010-0000-0300-000008000000}" name="Cost per input Query($)"/>
    <tableColumn id="9" xr3:uid="{00000000-0010-0000-0300-000009000000}" name="Cost per output query Query($)"/>
    <tableColumn id="10" xr3:uid="{00000000-0010-0000-0300-00000A000000}" name="Total Cost per query"/>
    <tableColumn id="11" xr3:uid="{00000000-0010-0000-0300-00000B000000}" name="Total cost per month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C6:D10" totalsRowShown="0" headerRowDxfId="32" dataDxfId="31">
  <autoFilter ref="C6:D10" xr:uid="{00000000-0009-0000-0100-000005000000}"/>
  <tableColumns count="2">
    <tableColumn id="1" xr3:uid="{00000000-0010-0000-0400-000001000000}" name="Component" dataDxfId="30"/>
    <tableColumn id="2" xr3:uid="{00000000-0010-0000-0400-000002000000}" name="Quantity" dataDxfId="2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F6:G10" totalsRowShown="0" headerRowDxfId="28" dataDxfId="27">
  <autoFilter ref="F6:G10" xr:uid="{00000000-0009-0000-0100-000006000000}"/>
  <tableColumns count="2">
    <tableColumn id="1" xr3:uid="{00000000-0010-0000-0500-000001000000}" name="Component" dataDxfId="26"/>
    <tableColumn id="2" xr3:uid="{00000000-0010-0000-0500-000002000000}" name="Quantity" dataDxfId="2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5" displayName="Table5" ref="I6:J10" totalsRowShown="0" headerRowDxfId="24">
  <autoFilter ref="I6:J10" xr:uid="{00000000-0009-0000-0100-000007000000}"/>
  <tableColumns count="2">
    <tableColumn id="1" xr3:uid="{00000000-0010-0000-0600-000001000000}" name="Component"/>
    <tableColumn id="2" xr3:uid="{00000000-0010-0000-0600-000002000000}" name="Quantity" dataDxfId="2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6" displayName="Table6" ref="C14:D17" totalsRowShown="0" headerRowDxfId="22" tableBorderDxfId="21">
  <autoFilter ref="C14:D17" xr:uid="{00000000-0009-0000-0100-000008000000}"/>
  <tableColumns count="2">
    <tableColumn id="1" xr3:uid="{00000000-0010-0000-0700-000001000000}" name="Component"/>
    <tableColumn id="2" xr3:uid="{00000000-0010-0000-0700-000002000000}" name="Cost/Quantity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7" displayName="Table7" ref="C21:D26" totalsRowShown="0" headerRowDxfId="20" dataDxfId="19">
  <autoFilter ref="C21:D26" xr:uid="{00000000-0009-0000-0100-000009000000}"/>
  <tableColumns count="2">
    <tableColumn id="1" xr3:uid="{00000000-0010-0000-0800-000001000000}" name="Component" dataDxfId="18"/>
    <tableColumn id="2" xr3:uid="{00000000-0010-0000-0800-000002000000}" name="Cost/Quantity" dataDxfId="1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8" displayName="Table8" ref="D4:E10" totalsRowShown="0" headerRowDxfId="16" dataDxfId="15">
  <autoFilter ref="D4:E10" xr:uid="{00000000-0009-0000-0100-00000A000000}"/>
  <tableColumns count="2">
    <tableColumn id="1" xr3:uid="{00000000-0010-0000-0900-000001000000}" name="Component" dataDxfId="14"/>
    <tableColumn id="2" xr3:uid="{00000000-0010-0000-0900-000002000000}" name="Quantity" dataDxfId="1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9" displayName="Table9" ref="D14:E17" totalsRowShown="0" headerRowDxfId="12" dataDxfId="10" headerRowBorderDxfId="11" tableBorderDxfId="9" totalsRowBorderDxfId="8">
  <autoFilter ref="D14:E17" xr:uid="{00000000-0009-0000-0100-00000B000000}"/>
  <tableColumns count="2">
    <tableColumn id="1" xr3:uid="{00000000-0010-0000-0A00-000001000000}" name="Component" dataDxfId="7"/>
    <tableColumn id="2" xr3:uid="{00000000-0010-0000-0A00-000002000000}" name="Cost" dataDxfId="6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0" displayName="Table10" ref="D23:E26" totalsRowShown="0" headerRowDxfId="5" headerRowBorderDxfId="4" tableBorderDxfId="3" totalsRowBorderDxfId="2">
  <autoFilter ref="D23:E26" xr:uid="{00000000-0009-0000-0100-00000C000000}"/>
  <tableColumns count="2">
    <tableColumn id="1" xr3:uid="{00000000-0010-0000-0B00-000001000000}" name="Component" dataDxfId="1"/>
    <tableColumn id="2" xr3:uid="{00000000-0010-0000-0B00-000002000000}" name="Cos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46"/>
  <sheetViews>
    <sheetView tabSelected="1" zoomScaleNormal="100" workbookViewId="0">
      <selection activeCell="E4" sqref="E4:K4"/>
    </sheetView>
  </sheetViews>
  <sheetFormatPr defaultColWidth="11.1640625" defaultRowHeight="18" x14ac:dyDescent="0.35"/>
  <cols>
    <col min="2" max="2" width="29.08203125" customWidth="1"/>
    <col min="3" max="3" width="15.9140625" customWidth="1"/>
    <col min="5" max="5" width="16" customWidth="1"/>
    <col min="6" max="6" width="18.6640625" customWidth="1"/>
    <col min="7" max="7" width="20.33203125" customWidth="1"/>
    <col min="8" max="9" width="19" customWidth="1"/>
    <col min="10" max="10" width="12.58203125" customWidth="1"/>
    <col min="11" max="11" width="18.33203125" customWidth="1"/>
  </cols>
  <sheetData>
    <row r="3" spans="2:11" ht="20.100000000000001" customHeight="1" thickBot="1" x14ac:dyDescent="0.4"/>
    <row r="4" spans="2:11" ht="18.899999999999999" customHeight="1" x14ac:dyDescent="0.35">
      <c r="B4" s="57" t="s">
        <v>0</v>
      </c>
      <c r="C4" s="56"/>
      <c r="E4" s="54" t="s">
        <v>1</v>
      </c>
      <c r="F4" s="55"/>
      <c r="G4" s="55"/>
      <c r="H4" s="55"/>
      <c r="I4" s="55"/>
      <c r="J4" s="55"/>
      <c r="K4" s="56"/>
    </row>
    <row r="5" spans="2:11" ht="39.9" customHeight="1" x14ac:dyDescent="0.35">
      <c r="B5" s="23" t="s">
        <v>2</v>
      </c>
      <c r="C5" s="15" t="s">
        <v>3</v>
      </c>
      <c r="E5" s="28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30" t="s">
        <v>10</v>
      </c>
    </row>
    <row r="6" spans="2:11" x14ac:dyDescent="0.35">
      <c r="B6" s="23" t="s">
        <v>11</v>
      </c>
      <c r="C6" s="15">
        <v>250</v>
      </c>
      <c r="E6" s="31" t="s">
        <v>12</v>
      </c>
      <c r="F6" s="2">
        <v>0.1</v>
      </c>
      <c r="G6" s="2">
        <v>0.5</v>
      </c>
      <c r="H6" s="2">
        <f>F6*$C$11/1000000</f>
        <v>3.1500000000000001E-4</v>
      </c>
      <c r="I6" s="2">
        <f>G6*$C$12/1000000</f>
        <v>2.0000000000000001E-4</v>
      </c>
      <c r="J6" s="2">
        <f>H6+I6</f>
        <v>5.1500000000000005E-4</v>
      </c>
      <c r="K6" s="32">
        <f>Table2[[#This Row],[Total Cost per query]]*$C$16</f>
        <v>0.30900000000000005</v>
      </c>
    </row>
    <row r="7" spans="2:11" x14ac:dyDescent="0.35">
      <c r="B7" s="23" t="s">
        <v>13</v>
      </c>
      <c r="C7" s="15">
        <v>1200</v>
      </c>
      <c r="E7" s="31" t="s">
        <v>14</v>
      </c>
      <c r="F7" s="2">
        <v>0.15</v>
      </c>
      <c r="G7" s="2">
        <v>0.75</v>
      </c>
      <c r="H7" s="2">
        <f>F7*$C$11/1000000</f>
        <v>4.7249999999999999E-4</v>
      </c>
      <c r="I7" s="2">
        <f>G7*$C$12/1000000</f>
        <v>2.9999999999999997E-4</v>
      </c>
      <c r="J7" s="2">
        <f>H7+I7</f>
        <v>7.7249999999999997E-4</v>
      </c>
      <c r="K7" s="32">
        <f>Table2[[#This Row],[Total Cost per query]]*$C$16</f>
        <v>0.46349999999999997</v>
      </c>
    </row>
    <row r="8" spans="2:11" x14ac:dyDescent="0.35">
      <c r="B8" s="23" t="s">
        <v>15</v>
      </c>
      <c r="C8" s="15">
        <v>300</v>
      </c>
      <c r="E8" s="31" t="s">
        <v>16</v>
      </c>
      <c r="F8" s="2">
        <v>0.1</v>
      </c>
      <c r="G8" s="2">
        <v>0.5</v>
      </c>
      <c r="H8" s="2">
        <f>F8*$C$11/1000000</f>
        <v>3.1500000000000001E-4</v>
      </c>
      <c r="I8" s="2">
        <f>G8*$C$12/1000000</f>
        <v>2.0000000000000001E-4</v>
      </c>
      <c r="J8" s="2">
        <f>H8+I8</f>
        <v>5.1500000000000005E-4</v>
      </c>
      <c r="K8" s="32">
        <f>Table2[[#This Row],[Total Cost per query]]*$C$16</f>
        <v>0.30900000000000005</v>
      </c>
    </row>
    <row r="9" spans="2:11" x14ac:dyDescent="0.35">
      <c r="B9" s="23" t="s">
        <v>17</v>
      </c>
      <c r="C9" s="15">
        <v>800</v>
      </c>
      <c r="E9" s="33"/>
      <c r="F9" s="34"/>
      <c r="G9" s="34"/>
      <c r="H9" s="34"/>
      <c r="I9" s="34"/>
      <c r="J9" s="34"/>
      <c r="K9" s="35"/>
    </row>
    <row r="10" spans="2:11" x14ac:dyDescent="0.35">
      <c r="B10" s="23" t="s">
        <v>18</v>
      </c>
      <c r="C10" s="15">
        <v>600</v>
      </c>
      <c r="E10" s="33"/>
      <c r="F10" s="34"/>
      <c r="G10" s="34"/>
      <c r="H10" s="34"/>
      <c r="I10" s="34"/>
      <c r="J10" s="34"/>
      <c r="K10" s="35"/>
    </row>
    <row r="11" spans="2:11" x14ac:dyDescent="0.35">
      <c r="B11" s="24" t="s">
        <v>19</v>
      </c>
      <c r="C11" s="25">
        <f>SUM(C6:C10)</f>
        <v>3150</v>
      </c>
      <c r="E11" s="36"/>
      <c r="F11" s="37"/>
      <c r="G11" s="37"/>
      <c r="H11" s="37"/>
      <c r="I11" s="37"/>
      <c r="J11" s="37"/>
      <c r="K11" s="38"/>
    </row>
    <row r="12" spans="2:11" x14ac:dyDescent="0.35">
      <c r="B12" s="23" t="s">
        <v>20</v>
      </c>
      <c r="C12" s="15">
        <v>400</v>
      </c>
    </row>
    <row r="13" spans="2:11" x14ac:dyDescent="0.35">
      <c r="B13" s="24" t="s">
        <v>21</v>
      </c>
      <c r="C13" s="25">
        <f>C11+C12</f>
        <v>3550</v>
      </c>
    </row>
    <row r="14" spans="2:11" x14ac:dyDescent="0.35">
      <c r="B14" s="23" t="s">
        <v>22</v>
      </c>
      <c r="C14" s="15">
        <v>20</v>
      </c>
    </row>
    <row r="15" spans="2:11" x14ac:dyDescent="0.35">
      <c r="B15" s="23" t="s">
        <v>23</v>
      </c>
      <c r="C15" s="15">
        <v>30</v>
      </c>
    </row>
    <row r="16" spans="2:11" ht="20.100000000000001" customHeight="1" thickBot="1" x14ac:dyDescent="0.4">
      <c r="B16" s="26" t="s">
        <v>24</v>
      </c>
      <c r="C16" s="27">
        <f>C14*C15</f>
        <v>600</v>
      </c>
    </row>
    <row r="18" spans="2:11" x14ac:dyDescent="0.35">
      <c r="B18" s="57" t="s">
        <v>25</v>
      </c>
      <c r="C18" s="56"/>
      <c r="E18" s="54" t="s">
        <v>26</v>
      </c>
      <c r="F18" s="55"/>
      <c r="G18" s="55"/>
      <c r="H18" s="55"/>
      <c r="I18" s="55"/>
      <c r="J18" s="55"/>
      <c r="K18" s="56"/>
    </row>
    <row r="19" spans="2:11" ht="36" x14ac:dyDescent="0.35">
      <c r="B19" s="23" t="s">
        <v>2</v>
      </c>
      <c r="C19" s="15" t="s">
        <v>3</v>
      </c>
      <c r="E19" s="28" t="s">
        <v>4</v>
      </c>
      <c r="F19" s="29" t="s">
        <v>5</v>
      </c>
      <c r="G19" s="29" t="s">
        <v>6</v>
      </c>
      <c r="H19" s="29" t="s">
        <v>7</v>
      </c>
      <c r="I19" s="29" t="s">
        <v>8</v>
      </c>
      <c r="J19" s="29" t="s">
        <v>9</v>
      </c>
      <c r="K19" s="30" t="s">
        <v>10</v>
      </c>
    </row>
    <row r="20" spans="2:11" x14ac:dyDescent="0.35">
      <c r="B20" s="23" t="s">
        <v>27</v>
      </c>
      <c r="C20" s="15">
        <v>50</v>
      </c>
      <c r="E20" s="31" t="s">
        <v>28</v>
      </c>
      <c r="F20" s="2">
        <v>0.15</v>
      </c>
      <c r="G20" s="2">
        <v>0.75</v>
      </c>
      <c r="H20" s="2">
        <f>F20*$C$25/1000000</f>
        <v>9.2250000000000003E-4</v>
      </c>
      <c r="I20" s="2">
        <f>G20*$C$26/1000000</f>
        <v>4.4999999999999999E-4</v>
      </c>
      <c r="J20" s="2">
        <f>H20+I20</f>
        <v>1.3725E-3</v>
      </c>
      <c r="K20" s="32">
        <f>J20*$C$30</f>
        <v>1.0293749999999999</v>
      </c>
    </row>
    <row r="21" spans="2:11" x14ac:dyDescent="0.35">
      <c r="B21" s="23" t="s">
        <v>29</v>
      </c>
      <c r="C21" s="15">
        <v>1000</v>
      </c>
      <c r="E21" s="31" t="s">
        <v>30</v>
      </c>
      <c r="F21" s="2">
        <v>0.1</v>
      </c>
      <c r="G21" s="2">
        <v>0.5</v>
      </c>
      <c r="H21" s="2">
        <f>F21*$C$25/1000000</f>
        <v>6.1499999999999999E-4</v>
      </c>
      <c r="I21" s="2">
        <f>G21*$C$26/1000000</f>
        <v>2.9999999999999997E-4</v>
      </c>
      <c r="J21" s="2">
        <f>H21+I21</f>
        <v>9.1500000000000001E-4</v>
      </c>
      <c r="K21" s="32">
        <f>J21*$C$30</f>
        <v>0.68625000000000003</v>
      </c>
    </row>
    <row r="22" spans="2:11" x14ac:dyDescent="0.35">
      <c r="B22" s="23" t="s">
        <v>31</v>
      </c>
      <c r="C22" s="15">
        <v>4000</v>
      </c>
      <c r="E22" s="31" t="s">
        <v>32</v>
      </c>
      <c r="F22" s="2">
        <v>4</v>
      </c>
      <c r="G22" s="2">
        <v>20</v>
      </c>
      <c r="H22" s="2">
        <f>F22*$C$25/1000000</f>
        <v>2.46E-2</v>
      </c>
      <c r="I22" s="2">
        <f>G22*$C$26/1000000</f>
        <v>1.2E-2</v>
      </c>
      <c r="J22" s="2">
        <f>H22+I22</f>
        <v>3.6600000000000001E-2</v>
      </c>
      <c r="K22" s="32">
        <f>J22*$C$30</f>
        <v>27.45</v>
      </c>
    </row>
    <row r="23" spans="2:11" x14ac:dyDescent="0.35">
      <c r="B23" s="23" t="s">
        <v>33</v>
      </c>
      <c r="C23" s="15">
        <v>800</v>
      </c>
      <c r="E23" s="33"/>
      <c r="F23" s="34"/>
      <c r="G23" s="34"/>
      <c r="H23" s="34"/>
      <c r="I23" s="34"/>
      <c r="J23" s="34"/>
      <c r="K23" s="35"/>
    </row>
    <row r="24" spans="2:11" x14ac:dyDescent="0.35">
      <c r="B24" s="23" t="s">
        <v>34</v>
      </c>
      <c r="C24" s="15">
        <v>300</v>
      </c>
      <c r="E24" s="33"/>
      <c r="F24" s="34"/>
      <c r="G24" s="34"/>
      <c r="H24" s="34"/>
      <c r="I24" s="34"/>
      <c r="J24" s="34"/>
      <c r="K24" s="35"/>
    </row>
    <row r="25" spans="2:11" x14ac:dyDescent="0.35">
      <c r="B25" s="24" t="s">
        <v>35</v>
      </c>
      <c r="C25" s="25">
        <f>SUM(C20:C24)</f>
        <v>6150</v>
      </c>
      <c r="E25" s="36"/>
      <c r="F25" s="37"/>
      <c r="G25" s="37"/>
      <c r="H25" s="37"/>
      <c r="I25" s="37"/>
      <c r="J25" s="37"/>
      <c r="K25" s="38"/>
    </row>
    <row r="26" spans="2:11" x14ac:dyDescent="0.35">
      <c r="B26" s="23" t="s">
        <v>36</v>
      </c>
      <c r="C26" s="15">
        <v>600</v>
      </c>
    </row>
    <row r="27" spans="2:11" x14ac:dyDescent="0.35">
      <c r="B27" s="24" t="s">
        <v>37</v>
      </c>
      <c r="C27" s="25">
        <f>C25+C26</f>
        <v>6750</v>
      </c>
    </row>
    <row r="28" spans="2:11" x14ac:dyDescent="0.35">
      <c r="B28" s="23" t="s">
        <v>38</v>
      </c>
      <c r="C28" s="15">
        <v>25</v>
      </c>
    </row>
    <row r="29" spans="2:11" x14ac:dyDescent="0.35">
      <c r="B29" s="23" t="s">
        <v>23</v>
      </c>
      <c r="C29" s="15">
        <v>30</v>
      </c>
    </row>
    <row r="30" spans="2:11" x14ac:dyDescent="0.35">
      <c r="B30" s="26" t="s">
        <v>39</v>
      </c>
      <c r="C30" s="27">
        <f>C28*C29</f>
        <v>750</v>
      </c>
    </row>
    <row r="32" spans="2:11" x14ac:dyDescent="0.35">
      <c r="B32" s="57" t="s">
        <v>40</v>
      </c>
      <c r="C32" s="56"/>
    </row>
    <row r="33" spans="2:3" x14ac:dyDescent="0.35">
      <c r="B33" s="23" t="s">
        <v>41</v>
      </c>
      <c r="C33" s="32">
        <f>K6</f>
        <v>0.30900000000000005</v>
      </c>
    </row>
    <row r="34" spans="2:3" x14ac:dyDescent="0.35">
      <c r="B34" s="23" t="s">
        <v>42</v>
      </c>
      <c r="C34" s="32">
        <f>K20</f>
        <v>1.0293749999999999</v>
      </c>
    </row>
    <row r="35" spans="2:3" x14ac:dyDescent="0.35">
      <c r="B35" s="23" t="s">
        <v>43</v>
      </c>
      <c r="C35" s="32">
        <f>8*30*(3000*F6+800*G6)/1000000</f>
        <v>0.16800000000000001</v>
      </c>
    </row>
    <row r="36" spans="2:3" x14ac:dyDescent="0.35">
      <c r="B36" s="23" t="s">
        <v>44</v>
      </c>
      <c r="C36" s="32">
        <f>8*5*30/60*0.04</f>
        <v>0.8</v>
      </c>
    </row>
    <row r="37" spans="2:3" x14ac:dyDescent="0.35">
      <c r="B37" s="23" t="s">
        <v>45</v>
      </c>
      <c r="C37" s="32">
        <v>0</v>
      </c>
    </row>
    <row r="38" spans="2:3" x14ac:dyDescent="0.35">
      <c r="B38" s="23" t="s">
        <v>46</v>
      </c>
      <c r="C38" s="32">
        <v>0</v>
      </c>
    </row>
    <row r="39" spans="2:3" x14ac:dyDescent="0.35">
      <c r="B39" s="51" t="s">
        <v>47</v>
      </c>
      <c r="C39" s="52">
        <f>SUM(C33:C38)</f>
        <v>2.3063750000000001</v>
      </c>
    </row>
    <row r="41" spans="2:3" x14ac:dyDescent="0.35">
      <c r="B41" s="53" t="s">
        <v>48</v>
      </c>
    </row>
    <row r="42" spans="2:3" x14ac:dyDescent="0.35">
      <c r="B42" t="s">
        <v>49</v>
      </c>
    </row>
    <row r="43" spans="2:3" x14ac:dyDescent="0.35">
      <c r="B43" t="s">
        <v>50</v>
      </c>
    </row>
    <row r="44" spans="2:3" x14ac:dyDescent="0.35">
      <c r="B44" t="s">
        <v>51</v>
      </c>
    </row>
    <row r="45" spans="2:3" x14ac:dyDescent="0.35">
      <c r="B45" t="s">
        <v>52</v>
      </c>
    </row>
    <row r="46" spans="2:3" x14ac:dyDescent="0.35">
      <c r="B46" t="s">
        <v>53</v>
      </c>
    </row>
  </sheetData>
  <mergeCells count="5">
    <mergeCell ref="E18:K18"/>
    <mergeCell ref="E4:K4"/>
    <mergeCell ref="B32:C32"/>
    <mergeCell ref="B18:C18"/>
    <mergeCell ref="B4:C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J31"/>
  <sheetViews>
    <sheetView zoomScaleNormal="100" workbookViewId="0">
      <selection activeCell="F14" sqref="F14"/>
    </sheetView>
  </sheetViews>
  <sheetFormatPr defaultColWidth="11.1640625" defaultRowHeight="18" x14ac:dyDescent="0.35"/>
  <cols>
    <col min="3" max="3" width="31.33203125" bestFit="1" customWidth="1"/>
    <col min="4" max="4" width="18" customWidth="1"/>
    <col min="6" max="6" width="22.33203125" bestFit="1" customWidth="1"/>
    <col min="7" max="7" width="15" customWidth="1"/>
    <col min="9" max="9" width="23.4140625" customWidth="1"/>
    <col min="10" max="10" width="14.9140625" customWidth="1"/>
  </cols>
  <sheetData>
    <row r="2" spans="3:10" ht="20.100000000000001" customHeight="1" thickBot="1" x14ac:dyDescent="0.4"/>
    <row r="3" spans="3:10" ht="24.9" customHeight="1" thickBot="1" x14ac:dyDescent="0.4">
      <c r="C3" s="21" t="s">
        <v>54</v>
      </c>
      <c r="D3" s="22">
        <v>1.3</v>
      </c>
    </row>
    <row r="4" spans="3:10" ht="20.100000000000001" customHeight="1" thickBot="1" x14ac:dyDescent="0.4"/>
    <row r="5" spans="3:10" ht="20.100000000000001" customHeight="1" x14ac:dyDescent="0.35">
      <c r="C5" s="58" t="s">
        <v>55</v>
      </c>
      <c r="D5" s="59"/>
      <c r="F5" s="60" t="s">
        <v>56</v>
      </c>
      <c r="G5" s="59"/>
      <c r="I5" s="60" t="s">
        <v>57</v>
      </c>
      <c r="J5" s="59"/>
    </row>
    <row r="6" spans="3:10" ht="20.100000000000001" customHeight="1" x14ac:dyDescent="0.35">
      <c r="C6" s="3" t="s">
        <v>58</v>
      </c>
      <c r="D6" s="4" t="s">
        <v>3</v>
      </c>
      <c r="F6" s="3" t="s">
        <v>58</v>
      </c>
      <c r="G6" s="4" t="s">
        <v>3</v>
      </c>
      <c r="I6" s="3" t="s">
        <v>58</v>
      </c>
      <c r="J6" s="4" t="s">
        <v>3</v>
      </c>
    </row>
    <row r="7" spans="3:10" x14ac:dyDescent="0.35">
      <c r="C7" s="5" t="s">
        <v>59</v>
      </c>
      <c r="D7" s="6">
        <v>4000</v>
      </c>
      <c r="F7" s="9" t="s">
        <v>60</v>
      </c>
      <c r="G7" s="10">
        <v>1000</v>
      </c>
      <c r="I7" s="11" t="s">
        <v>61</v>
      </c>
      <c r="J7" s="6">
        <v>60</v>
      </c>
    </row>
    <row r="8" spans="3:10" ht="20.100000000000001" customHeight="1" x14ac:dyDescent="0.35">
      <c r="C8" s="5" t="s">
        <v>62</v>
      </c>
      <c r="D8" s="6">
        <v>150</v>
      </c>
      <c r="F8" s="9" t="s">
        <v>63</v>
      </c>
      <c r="G8" s="10">
        <v>250</v>
      </c>
      <c r="I8" s="12" t="s">
        <v>64</v>
      </c>
      <c r="J8" s="6">
        <v>3000</v>
      </c>
    </row>
    <row r="9" spans="3:10" x14ac:dyDescent="0.35">
      <c r="C9" s="5" t="s">
        <v>65</v>
      </c>
      <c r="D9" s="6">
        <f>D7*D8</f>
        <v>600000</v>
      </c>
      <c r="F9" s="9" t="s">
        <v>65</v>
      </c>
      <c r="G9" s="10">
        <f>G8*G7</f>
        <v>250000</v>
      </c>
      <c r="I9" s="11" t="s">
        <v>65</v>
      </c>
      <c r="J9" s="6">
        <f>J8*J7</f>
        <v>180000</v>
      </c>
    </row>
    <row r="10" spans="3:10" ht="20.100000000000001" customHeight="1" thickBot="1" x14ac:dyDescent="0.4">
      <c r="C10" s="7" t="s">
        <v>66</v>
      </c>
      <c r="D10" s="8">
        <f>D9*D3</f>
        <v>780000</v>
      </c>
      <c r="F10" s="7" t="s">
        <v>67</v>
      </c>
      <c r="G10" s="8">
        <f>G9*D3</f>
        <v>325000</v>
      </c>
      <c r="I10" s="7" t="s">
        <v>67</v>
      </c>
      <c r="J10" s="8">
        <f>J9*D3</f>
        <v>234000</v>
      </c>
    </row>
    <row r="12" spans="3:10" ht="20.100000000000001" customHeight="1" thickBot="1" x14ac:dyDescent="0.4"/>
    <row r="13" spans="3:10" x14ac:dyDescent="0.35">
      <c r="C13" s="58" t="s">
        <v>68</v>
      </c>
      <c r="D13" s="59"/>
    </row>
    <row r="14" spans="3:10" ht="20.100000000000001" customHeight="1" x14ac:dyDescent="0.35">
      <c r="C14" s="3" t="s">
        <v>58</v>
      </c>
      <c r="D14" s="4" t="s">
        <v>69</v>
      </c>
    </row>
    <row r="15" spans="3:10" x14ac:dyDescent="0.35">
      <c r="C15" s="5" t="s">
        <v>70</v>
      </c>
      <c r="D15" s="6">
        <f>D10+G10+J10</f>
        <v>1339000</v>
      </c>
    </row>
    <row r="16" spans="3:10" x14ac:dyDescent="0.35">
      <c r="C16" s="5" t="s">
        <v>71</v>
      </c>
      <c r="D16" s="6">
        <v>0.13</v>
      </c>
    </row>
    <row r="17" spans="3:4" ht="20.100000000000001" customHeight="1" thickBot="1" x14ac:dyDescent="0.4">
      <c r="C17" s="13" t="s">
        <v>72</v>
      </c>
      <c r="D17" s="14">
        <f>D15*D16/1000000</f>
        <v>0.17407</v>
      </c>
    </row>
    <row r="19" spans="3:4" ht="20.100000000000001" customHeight="1" thickBot="1" x14ac:dyDescent="0.4"/>
    <row r="20" spans="3:4" x14ac:dyDescent="0.35">
      <c r="C20" s="58" t="s">
        <v>73</v>
      </c>
      <c r="D20" s="59"/>
    </row>
    <row r="21" spans="3:4" ht="20.100000000000001" customHeight="1" x14ac:dyDescent="0.35">
      <c r="C21" s="3" t="s">
        <v>58</v>
      </c>
      <c r="D21" s="4" t="s">
        <v>69</v>
      </c>
    </row>
    <row r="22" spans="3:4" x14ac:dyDescent="0.35">
      <c r="C22" s="5" t="s">
        <v>74</v>
      </c>
      <c r="D22" s="15">
        <v>30</v>
      </c>
    </row>
    <row r="23" spans="3:4" x14ac:dyDescent="0.35">
      <c r="C23" s="5" t="s">
        <v>75</v>
      </c>
      <c r="D23" s="6">
        <v>300</v>
      </c>
    </row>
    <row r="24" spans="3:4" x14ac:dyDescent="0.35">
      <c r="C24" s="5" t="s">
        <v>76</v>
      </c>
      <c r="D24" s="6">
        <f>D23*D22</f>
        <v>9000</v>
      </c>
    </row>
    <row r="25" spans="3:4" x14ac:dyDescent="0.35">
      <c r="C25" s="16" t="s">
        <v>77</v>
      </c>
      <c r="D25" s="17">
        <v>0.13</v>
      </c>
    </row>
    <row r="26" spans="3:4" ht="20.100000000000001" customHeight="1" thickBot="1" x14ac:dyDescent="0.4">
      <c r="C26" s="18" t="s">
        <v>78</v>
      </c>
      <c r="D26" s="14">
        <f>D24*D25/1000000</f>
        <v>1.17E-3</v>
      </c>
    </row>
    <row r="28" spans="3:4" ht="20.100000000000001" customHeight="1" thickBot="1" x14ac:dyDescent="0.4"/>
    <row r="29" spans="3:4" ht="20.100000000000001" customHeight="1" thickBot="1" x14ac:dyDescent="0.4">
      <c r="C29" s="19" t="s">
        <v>79</v>
      </c>
      <c r="D29" s="20">
        <f>D17+D26</f>
        <v>0.17524000000000001</v>
      </c>
    </row>
    <row r="31" spans="3:4" x14ac:dyDescent="0.35">
      <c r="C31" t="s">
        <v>80</v>
      </c>
    </row>
  </sheetData>
  <mergeCells count="5">
    <mergeCell ref="C20:D20"/>
    <mergeCell ref="F5:G5"/>
    <mergeCell ref="C5:D5"/>
    <mergeCell ref="I5:J5"/>
    <mergeCell ref="C13:D13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E33"/>
  <sheetViews>
    <sheetView zoomScaleNormal="100" workbookViewId="0">
      <selection activeCell="D3" sqref="D3:E3"/>
    </sheetView>
  </sheetViews>
  <sheetFormatPr defaultColWidth="11.1640625" defaultRowHeight="18" x14ac:dyDescent="0.35"/>
  <cols>
    <col min="4" max="4" width="33.08203125" customWidth="1"/>
    <col min="5" max="5" width="15" customWidth="1"/>
  </cols>
  <sheetData>
    <row r="3" spans="4:5" x14ac:dyDescent="0.35">
      <c r="D3" s="61" t="s">
        <v>81</v>
      </c>
      <c r="E3" s="62"/>
    </row>
    <row r="4" spans="4:5" x14ac:dyDescent="0.35">
      <c r="D4" s="1" t="s">
        <v>58</v>
      </c>
      <c r="E4" s="1" t="s">
        <v>3</v>
      </c>
    </row>
    <row r="5" spans="4:5" x14ac:dyDescent="0.35">
      <c r="D5" s="1" t="s">
        <v>82</v>
      </c>
      <c r="E5" s="1">
        <v>2.5</v>
      </c>
    </row>
    <row r="6" spans="4:5" x14ac:dyDescent="0.35">
      <c r="D6" s="1" t="s">
        <v>83</v>
      </c>
      <c r="E6" s="1">
        <v>8</v>
      </c>
    </row>
    <row r="7" spans="4:5" x14ac:dyDescent="0.35">
      <c r="D7" s="1" t="s">
        <v>84</v>
      </c>
      <c r="E7" s="1">
        <v>22</v>
      </c>
    </row>
    <row r="8" spans="4:5" x14ac:dyDescent="0.35">
      <c r="D8" s="1" t="s">
        <v>85</v>
      </c>
      <c r="E8" s="1">
        <f>E6*E7</f>
        <v>176</v>
      </c>
    </row>
    <row r="9" spans="4:5" x14ac:dyDescent="0.35">
      <c r="D9" s="1" t="s">
        <v>86</v>
      </c>
      <c r="E9" s="1">
        <f>E5*E7+8</f>
        <v>63</v>
      </c>
    </row>
    <row r="10" spans="4:5" x14ac:dyDescent="0.35">
      <c r="D10" s="1" t="s">
        <v>87</v>
      </c>
      <c r="E10" s="1">
        <f>E9/E8</f>
        <v>0.35795454545454547</v>
      </c>
    </row>
    <row r="13" spans="4:5" x14ac:dyDescent="0.35">
      <c r="D13" s="61" t="s">
        <v>88</v>
      </c>
      <c r="E13" s="62"/>
    </row>
    <row r="14" spans="4:5" x14ac:dyDescent="0.35">
      <c r="D14" s="28" t="s">
        <v>58</v>
      </c>
      <c r="E14" s="44" t="s">
        <v>89</v>
      </c>
    </row>
    <row r="15" spans="4:5" x14ac:dyDescent="0.35">
      <c r="D15" s="31" t="s">
        <v>90</v>
      </c>
      <c r="E15" s="47">
        <v>1000</v>
      </c>
    </row>
    <row r="16" spans="4:5" x14ac:dyDescent="0.35">
      <c r="D16" s="31" t="s">
        <v>91</v>
      </c>
      <c r="E16" s="48">
        <v>100</v>
      </c>
    </row>
    <row r="17" spans="4:5" x14ac:dyDescent="0.35">
      <c r="D17" s="49" t="s">
        <v>92</v>
      </c>
      <c r="E17" s="50">
        <f>E15+E16</f>
        <v>1100</v>
      </c>
    </row>
    <row r="19" spans="4:5" x14ac:dyDescent="0.35">
      <c r="D19" s="39" t="s">
        <v>93</v>
      </c>
      <c r="E19" s="40">
        <f>E17*E10</f>
        <v>393.75</v>
      </c>
    </row>
    <row r="22" spans="4:5" ht="20.100000000000001" customHeight="1" x14ac:dyDescent="0.35">
      <c r="D22" s="63" t="s">
        <v>94</v>
      </c>
      <c r="E22" s="62"/>
    </row>
    <row r="23" spans="4:5" x14ac:dyDescent="0.35">
      <c r="D23" s="28" t="s">
        <v>58</v>
      </c>
      <c r="E23" s="44" t="s">
        <v>89</v>
      </c>
    </row>
    <row r="24" spans="4:5" x14ac:dyDescent="0.35">
      <c r="D24" s="33" t="s">
        <v>95</v>
      </c>
      <c r="E24" s="45">
        <f>Inference!C33+Inference!C34+Inference!C35+Inference!C36</f>
        <v>2.3063750000000001</v>
      </c>
    </row>
    <row r="25" spans="4:5" x14ac:dyDescent="0.35">
      <c r="D25" s="36" t="s">
        <v>96</v>
      </c>
      <c r="E25" s="46">
        <f>Inference!C38</f>
        <v>0</v>
      </c>
    </row>
    <row r="26" spans="4:5" x14ac:dyDescent="0.35">
      <c r="D26" s="36" t="s">
        <v>97</v>
      </c>
      <c r="E26" s="46">
        <f>Inference!C37</f>
        <v>0</v>
      </c>
    </row>
    <row r="27" spans="4:5" x14ac:dyDescent="0.35">
      <c r="D27" s="39" t="s">
        <v>98</v>
      </c>
      <c r="E27" s="40">
        <f>SUM(E24:E26)</f>
        <v>2.3063750000000001</v>
      </c>
    </row>
    <row r="30" spans="4:5" x14ac:dyDescent="0.35">
      <c r="D30" s="41" t="s">
        <v>99</v>
      </c>
      <c r="E30" s="42">
        <f>E19-E27</f>
        <v>391.443625</v>
      </c>
    </row>
    <row r="31" spans="4:5" x14ac:dyDescent="0.35">
      <c r="D31" s="41" t="s">
        <v>100</v>
      </c>
      <c r="E31" s="43">
        <f>E30/E19</f>
        <v>0.99414253968253963</v>
      </c>
    </row>
    <row r="33" spans="4:4" x14ac:dyDescent="0.35">
      <c r="D33" t="s">
        <v>101</v>
      </c>
    </row>
  </sheetData>
  <mergeCells count="3">
    <mergeCell ref="D3:E3"/>
    <mergeCell ref="D13:E13"/>
    <mergeCell ref="D22:E2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Inference</vt:lpstr>
      <vt:lpstr>Embeddings</vt:lpstr>
      <vt:lpstr>Cost 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 Pardeshi</dc:creator>
  <cp:lastModifiedBy>Eshita Rastogi</cp:lastModifiedBy>
  <dcterms:created xsi:type="dcterms:W3CDTF">2026-09-12T10:38:39Z</dcterms:created>
  <dcterms:modified xsi:type="dcterms:W3CDTF">2026-10-13T18:12:23Z</dcterms:modified>
</cp:coreProperties>
</file>